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showSheetTabs="0" xWindow="120" yWindow="120" windowWidth="20730" windowHeight="11760"/>
  </bookViews>
  <sheets>
    <sheet name="Electronic Datasheet" sheetId="1" r:id="rId1"/>
  </sheets>
  <functionGroups/>
  <definedNames>
    <definedName name="DIEL">'Electronic Datasheet'!$F$30</definedName>
    <definedName name="DIELDate">'Electronic Datasheet'!$J$30</definedName>
    <definedName name="DIELSign">'Electronic Datasheet'!$H$30</definedName>
    <definedName name="EVALUATE_CONTACT">'Electronic Datasheet'!$N$16:$N$18</definedName>
    <definedName name="FAIL">'Electronic Datasheet'!$N$12:$N$14</definedName>
    <definedName name="FPK">'Electronic Datasheet'!$F$53</definedName>
    <definedName name="FPKDate">'Electronic Datasheet'!$J$53</definedName>
    <definedName name="FPKSign">'Electronic Datasheet'!$H$53</definedName>
    <definedName name="FUNC">'Electronic Datasheet'!$F$8</definedName>
    <definedName name="FUNCDate">'Electronic Datasheet'!$J$8</definedName>
    <definedName name="FUNCSign">'Electronic Datasheet'!$H$8</definedName>
    <definedName name="GAP">'Electronic Datasheet'!$F$19</definedName>
    <definedName name="GAPDate">'Electronic Datasheet'!$J$19</definedName>
    <definedName name="GAPSign">'Electronic Datasheet'!$H$19</definedName>
    <definedName name="JFT">'Electronic Datasheet'!$F$26</definedName>
    <definedName name="JFTDate">'Electronic Datasheet'!$J$26</definedName>
    <definedName name="JFTSign">'Electronic Datasheet'!$H$26</definedName>
    <definedName name="NA">'Electronic Datasheet'!$N$8</definedName>
    <definedName name="PASS">'Electronic Datasheet'!$N$10</definedName>
    <definedName name="_xlnm.Print_Area" localSheetId="0">'Electronic Datasheet'!$A$1:$K$59</definedName>
    <definedName name="SEAL">'Electronic Datasheet'!$F$48</definedName>
    <definedName name="SEALDate">'Electronic Datasheet'!$J$48</definedName>
    <definedName name="SEALSign">'Electronic Datasheet'!$H$48</definedName>
    <definedName name="SheetAcceptance">'Electronic Datasheet'!$G$54</definedName>
    <definedName name="SheetStatus">'Electronic Datasheet'!$D$1</definedName>
    <definedName name="TEMP">'Electronic Datasheet'!$F$44</definedName>
    <definedName name="TEMPDate">'Electronic Datasheet'!$J$44</definedName>
    <definedName name="TEMPSign">'Electronic Datasheet'!$H$44</definedName>
    <definedName name="TP_9297">'Electronic Datasheet'!$F$35</definedName>
    <definedName name="TP_9297Date">'Electronic Datasheet'!$J$35</definedName>
    <definedName name="TP_9297Sign">'Electronic Datasheet'!$H$35</definedName>
  </definedNames>
  <calcPr calcId="125725"/>
</workbook>
</file>

<file path=xl/calcChain.xml><?xml version="1.0" encoding="utf-8"?>
<calcChain xmlns="http://schemas.openxmlformats.org/spreadsheetml/2006/main">
  <c r="G37" i="1"/>
  <c r="M37" s="1"/>
  <c r="G19"/>
  <c r="L37" l="1"/>
  <c r="M54"/>
  <c r="L54" s="1"/>
  <c r="M55"/>
  <c r="L55" s="1"/>
  <c r="G44"/>
  <c r="G40"/>
  <c r="L40" s="1"/>
  <c r="G39"/>
  <c r="G26"/>
  <c r="G22"/>
  <c r="L22" s="1"/>
  <c r="D22"/>
  <c r="G53"/>
  <c r="L53" s="1"/>
  <c r="G49"/>
  <c r="L49" s="1"/>
  <c r="G48"/>
  <c r="L48" s="1"/>
  <c r="G30"/>
  <c r="L30" s="1"/>
  <c r="G9"/>
  <c r="L9" s="1"/>
  <c r="G10"/>
  <c r="L10" s="1"/>
  <c r="G11"/>
  <c r="M11" s="1"/>
  <c r="G12"/>
  <c r="M12" s="1"/>
  <c r="G13"/>
  <c r="M13" s="1"/>
  <c r="G14"/>
  <c r="L14" s="1"/>
  <c r="G15"/>
  <c r="L15" s="1"/>
  <c r="G8"/>
  <c r="L8" s="1"/>
  <c r="L5"/>
  <c r="L4"/>
  <c r="L3"/>
  <c r="L2"/>
  <c r="M17"/>
  <c r="L17" s="1"/>
  <c r="M16"/>
  <c r="L16" s="1"/>
  <c r="M23"/>
  <c r="L23" s="1"/>
  <c r="M24"/>
  <c r="L24" s="1"/>
  <c r="M27"/>
  <c r="L27" s="1"/>
  <c r="M28"/>
  <c r="L28" s="1"/>
  <c r="M32"/>
  <c r="L32" s="1"/>
  <c r="M33"/>
  <c r="L33" s="1"/>
  <c r="M41"/>
  <c r="L41" s="1"/>
  <c r="M42"/>
  <c r="L42" s="1"/>
  <c r="M50"/>
  <c r="L50" s="1"/>
  <c r="M51"/>
  <c r="L51" s="1"/>
  <c r="M45"/>
  <c r="L45" s="1"/>
  <c r="M46"/>
  <c r="L46" s="1"/>
  <c r="M5"/>
  <c r="M4"/>
  <c r="M3"/>
  <c r="M2"/>
  <c r="G20"/>
  <c r="L20" s="1"/>
  <c r="G21"/>
  <c r="L21" s="1"/>
  <c r="L19"/>
  <c r="G35"/>
  <c r="L35" s="1"/>
  <c r="D36"/>
  <c r="G36" s="1"/>
  <c r="D35"/>
  <c r="E44"/>
  <c r="D44"/>
  <c r="E40"/>
  <c r="D40"/>
  <c r="E39"/>
  <c r="D39"/>
  <c r="D26"/>
  <c r="G31"/>
  <c r="M31" s="1"/>
  <c r="C26"/>
  <c r="D11"/>
  <c r="D10"/>
  <c r="L36" l="1"/>
  <c r="M36"/>
  <c r="L44"/>
  <c r="L31"/>
  <c r="L13"/>
  <c r="L12"/>
  <c r="L11"/>
  <c r="M21"/>
  <c r="M22"/>
  <c r="M9"/>
  <c r="M14"/>
  <c r="M48"/>
  <c r="M40"/>
  <c r="M20"/>
  <c r="M15"/>
  <c r="M10"/>
  <c r="M19"/>
  <c r="M30"/>
  <c r="M35"/>
  <c r="M53"/>
  <c r="M49"/>
  <c r="M44"/>
  <c r="M8"/>
  <c r="L39"/>
  <c r="L26"/>
  <c r="L57" l="1"/>
  <c r="F54" s="1"/>
  <c r="M39"/>
  <c r="M26"/>
  <c r="M57" s="1"/>
  <c r="D1" l="1"/>
  <c r="G54"/>
</calcChain>
</file>

<file path=xl/sharedStrings.xml><?xml version="1.0" encoding="utf-8"?>
<sst xmlns="http://schemas.openxmlformats.org/spreadsheetml/2006/main" count="154" uniqueCount="82">
  <si>
    <t>Handpiece Serial Number</t>
  </si>
  <si>
    <t>Handpiece Model Number</t>
  </si>
  <si>
    <t>Work Order Number</t>
  </si>
  <si>
    <t>Lot Number</t>
  </si>
  <si>
    <t>Procedure</t>
  </si>
  <si>
    <t>Test Description</t>
  </si>
  <si>
    <t>Status</t>
  </si>
  <si>
    <t>Acceptance Criteria</t>
  </si>
  <si>
    <t>Tester</t>
  </si>
  <si>
    <t>Date of Test</t>
  </si>
  <si>
    <t>MP-131-FUNC</t>
  </si>
  <si>
    <t>Handpiece Serial No.</t>
  </si>
  <si>
    <t>Handpiece Model (Diameter/Length)</t>
  </si>
  <si>
    <t>Hand_Piece_App Version</t>
  </si>
  <si>
    <t>Left Cut Button</t>
  </si>
  <si>
    <t>Right Cut Button</t>
  </si>
  <si>
    <t>Lever Switch</t>
  </si>
  <si>
    <t>MP-131-GAP (Overlay)</t>
  </si>
  <si>
    <t>MP-131-JFT</t>
  </si>
  <si>
    <t>Jaw Force</t>
  </si>
  <si>
    <t>MP-131-DIEL</t>
  </si>
  <si>
    <t>TP-9297</t>
  </si>
  <si>
    <t>MP-131-TEMP</t>
  </si>
  <si>
    <t>MP-131-SEAL</t>
  </si>
  <si>
    <t>MP-131-FPK</t>
  </si>
  <si>
    <t>Tip Gap</t>
  </si>
  <si>
    <t>Center Gap</t>
  </si>
  <si>
    <t>Heel Gap</t>
  </si>
  <si>
    <t>Verification</t>
  </si>
  <si>
    <t>PASS</t>
  </si>
  <si>
    <t>Jaw Force Low</t>
  </si>
  <si>
    <t>Jaw Force High</t>
  </si>
  <si>
    <t>Emissivity Fixed</t>
  </si>
  <si>
    <t>Emissivity Moving</t>
  </si>
  <si>
    <t>FAIL</t>
  </si>
  <si>
    <t>Low Limit</t>
  </si>
  <si>
    <t>High Limit</t>
  </si>
  <si>
    <t>Visual Inspection</t>
  </si>
  <si>
    <t>Dielectric Strength</t>
  </si>
  <si>
    <t>No Breakdown @ 200VAC</t>
  </si>
  <si>
    <t>Passes Overlay</t>
  </si>
  <si>
    <t>Emissivity Values</t>
  </si>
  <si>
    <t>Fixed</t>
  </si>
  <si>
    <t>Moving</t>
  </si>
  <si>
    <t xml:space="preserve">High Limit </t>
  </si>
  <si>
    <t>Controlled Temp Cycle Low</t>
  </si>
  <si>
    <t>Controlled Temp Cycle High</t>
  </si>
  <si>
    <t>Temp Verification Low</t>
  </si>
  <si>
    <t>Temp Verification High</t>
  </si>
  <si>
    <t>Temperature Verification</t>
  </si>
  <si>
    <t>Seal Inspection</t>
  </si>
  <si>
    <t>Particulate Inspection</t>
  </si>
  <si>
    <t>Verify All Labels</t>
  </si>
  <si>
    <t>10mm Jaw Contact (if Tip Gap Fails)</t>
  </si>
  <si>
    <t>NDSW 10981 Version 1.0</t>
  </si>
  <si>
    <t>TP-9297, Attachment A</t>
  </si>
  <si>
    <t>Date:</t>
  </si>
  <si>
    <t>Signature:</t>
  </si>
  <si>
    <t>Bootload Version</t>
  </si>
  <si>
    <t>Verified</t>
  </si>
  <si>
    <t>File Limits</t>
  </si>
  <si>
    <t>Completed Tests</t>
  </si>
  <si>
    <t>Passed Tests</t>
  </si>
  <si>
    <t>Dropdown References</t>
  </si>
  <si>
    <t>Checkbox References</t>
  </si>
  <si>
    <t>Gap Options</t>
  </si>
  <si>
    <t>5mm Gap</t>
  </si>
  <si>
    <t>10mm Tip Gap Pass</t>
  </si>
  <si>
    <t>Seal Button</t>
  </si>
  <si>
    <t>N/A</t>
  </si>
  <si>
    <t>EVALUATE CONTACT</t>
  </si>
  <si>
    <t>10mm Tip Gap</t>
  </si>
  <si>
    <t>10mm Contact</t>
  </si>
  <si>
    <t>Sign Below</t>
  </si>
  <si>
    <t xml:space="preserve">Altrus Handpiece Test Datasheet  </t>
  </si>
  <si>
    <t>Verify Datasheet</t>
  </si>
  <si>
    <t>Tests Pass and Datasheet is complete</t>
  </si>
  <si>
    <t>Controlled Temperature Cycle</t>
  </si>
  <si>
    <t>10mm</t>
  </si>
  <si>
    <t>Parameter Verification</t>
  </si>
  <si>
    <t>Software Indicates "Pass"</t>
  </si>
  <si>
    <t>Correct PN, Description, Lot Number, QTY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</si>
</sst>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5">
    <font>
      <sz val="11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indexed="39"/>
      <name val="Calibri"/>
      <family val="2"/>
      <scheme val="minor"/>
    </font>
    <font>
      <sz val="11"/>
      <name val="Arial Unicode MS"/>
      <family val="2"/>
    </font>
    <font>
      <sz val="11"/>
      <name val="Calibri"/>
      <family val="2"/>
      <scheme val="minor"/>
    </font>
    <font>
      <sz val="11"/>
      <color theme="0"/>
      <name val="Arial Unicode MS"/>
      <family val="2"/>
    </font>
    <font>
      <b/>
      <sz val="24"/>
      <color indexed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0" fillId="2" borderId="1" xfId="0" applyFill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9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right"/>
    </xf>
    <xf numFmtId="0" fontId="8" fillId="0" borderId="13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11" fillId="0" borderId="1" xfId="0" applyFont="1" applyBorder="1" applyAlignment="1" applyProtection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</xf>
    <xf numFmtId="0" fontId="0" fillId="0" borderId="1" xfId="0" applyBorder="1" applyAlignment="1">
      <alignment horizontal="center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" fontId="12" fillId="0" borderId="1" xfId="0" applyNumberFormat="1" applyFont="1" applyBorder="1" applyAlignment="1" applyProtection="1">
      <alignment horizontal="center" vertical="center"/>
      <protection locked="0"/>
    </xf>
    <xf numFmtId="0" fontId="0" fillId="0" borderId="9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10" xfId="0" applyFill="1" applyBorder="1" applyAlignment="1">
      <alignment horizontal="left" vertical="top"/>
    </xf>
    <xf numFmtId="0" fontId="0" fillId="0" borderId="1" xfId="0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1" fontId="4" fillId="0" borderId="2" xfId="0" applyNumberFormat="1" applyFont="1" applyBorder="1" applyAlignment="1" applyProtection="1">
      <alignment horizontal="center" vertical="center"/>
    </xf>
    <xf numFmtId="1" fontId="4" fillId="0" borderId="3" xfId="0" applyNumberFormat="1" applyFont="1" applyBorder="1" applyAlignment="1" applyProtection="1">
      <alignment horizontal="center" vertical="center"/>
    </xf>
    <xf numFmtId="1" fontId="4" fillId="0" borderId="4" xfId="0" applyNumberFormat="1" applyFont="1" applyBorder="1" applyAlignment="1" applyProtection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</cellXfs>
  <cellStyles count="1">
    <cellStyle name="Normal" xfId="0" builtinId="0"/>
  </cellStyles>
  <dxfs count="21"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0</xdr:row>
      <xdr:rowOff>142875</xdr:rowOff>
    </xdr:from>
    <xdr:to>
      <xdr:col>2</xdr:col>
      <xdr:colOff>495300</xdr:colOff>
      <xdr:row>0</xdr:row>
      <xdr:rowOff>575853</xdr:rowOff>
    </xdr:to>
    <xdr:pic>
      <xdr:nvPicPr>
        <xdr:cNvPr id="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8150" y="142875"/>
          <a:ext cx="1533525" cy="432978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R59"/>
  <sheetViews>
    <sheetView showGridLines="0" tabSelected="1" zoomScaleNormal="100" workbookViewId="0">
      <selection activeCell="F19" sqref="F19"/>
    </sheetView>
  </sheetViews>
  <sheetFormatPr defaultColWidth="10.7109375" defaultRowHeight="15"/>
  <cols>
    <col min="1" max="1" width="3.7109375" customWidth="1"/>
    <col min="2" max="2" width="18.42578125" customWidth="1"/>
    <col min="3" max="3" width="17.42578125" style="2" customWidth="1"/>
    <col min="4" max="4" width="11.42578125" style="2" customWidth="1"/>
    <col min="5" max="5" width="11.28515625" customWidth="1"/>
    <col min="6" max="6" width="19.28515625" style="2" customWidth="1"/>
    <col min="7" max="7" width="13.85546875" style="3" customWidth="1"/>
    <col min="8" max="8" width="13.28515625" style="2" customWidth="1"/>
    <col min="9" max="9" width="16" style="2" customWidth="1"/>
    <col min="10" max="10" width="21" style="2" customWidth="1"/>
    <col min="11" max="11" width="3.7109375" customWidth="1"/>
    <col min="12" max="12" width="13.28515625" style="2" hidden="1" customWidth="1"/>
    <col min="13" max="13" width="16" style="2" hidden="1" customWidth="1"/>
    <col min="14" max="14" width="21" style="3" hidden="1" customWidth="1"/>
    <col min="15" max="15" width="20.28515625" style="27" hidden="1" customWidth="1"/>
    <col min="16" max="16" width="26" hidden="1" customWidth="1"/>
    <col min="17" max="17" width="5.5703125" hidden="1" customWidth="1"/>
    <col min="18" max="18" width="10.7109375" style="3"/>
  </cols>
  <sheetData>
    <row r="1" spans="2:17" ht="58.5" customHeight="1">
      <c r="B1" s="22"/>
      <c r="C1" s="23"/>
      <c r="D1" s="60" t="str">
        <f>IF(M57&lt;&gt;0,"Incomplete",IF(G54="PASS","PASS",IF(G54="FAIL","FAIL","")))</f>
        <v>Incomplete</v>
      </c>
      <c r="E1" s="61"/>
      <c r="F1" s="23"/>
      <c r="G1" s="23"/>
      <c r="H1" s="23"/>
      <c r="I1" s="23"/>
      <c r="J1" s="24" t="s">
        <v>74</v>
      </c>
      <c r="K1" s="20"/>
      <c r="L1" s="37" t="s">
        <v>62</v>
      </c>
      <c r="M1" s="37" t="s">
        <v>61</v>
      </c>
      <c r="N1" s="37" t="s">
        <v>63</v>
      </c>
      <c r="O1" s="38" t="s">
        <v>64</v>
      </c>
      <c r="P1" s="37" t="s">
        <v>60</v>
      </c>
      <c r="Q1" s="7" t="s">
        <v>78</v>
      </c>
    </row>
    <row r="2" spans="2:17" ht="23.25" customHeight="1">
      <c r="B2" s="83" t="s">
        <v>0</v>
      </c>
      <c r="C2" s="84"/>
      <c r="D2" s="101"/>
      <c r="E2" s="102"/>
      <c r="F2" s="102"/>
      <c r="G2" s="102"/>
      <c r="H2" s="102"/>
      <c r="I2" s="102"/>
      <c r="J2" s="103"/>
      <c r="K2" s="17"/>
      <c r="L2" s="2">
        <f>IF(D2="",0,1)</f>
        <v>0</v>
      </c>
      <c r="M2" s="2">
        <f>IF(D2="",1,0)</f>
        <v>1</v>
      </c>
      <c r="N2" s="32"/>
      <c r="O2" s="28"/>
      <c r="P2" s="4" t="s">
        <v>13</v>
      </c>
      <c r="Q2" s="53"/>
    </row>
    <row r="3" spans="2:17" ht="21" customHeight="1">
      <c r="B3" s="83" t="s">
        <v>1</v>
      </c>
      <c r="C3" s="84"/>
      <c r="D3" s="98"/>
      <c r="E3" s="99"/>
      <c r="F3" s="99"/>
      <c r="G3" s="99"/>
      <c r="H3" s="99"/>
      <c r="I3" s="99"/>
      <c r="J3" s="100"/>
      <c r="K3" s="17"/>
      <c r="L3" s="2">
        <f>IF(D3="",0,1)</f>
        <v>0</v>
      </c>
      <c r="M3" s="2">
        <f>IF(D3="",1,0)</f>
        <v>1</v>
      </c>
      <c r="N3" s="36" t="s">
        <v>65</v>
      </c>
      <c r="P3" s="4" t="s">
        <v>58</v>
      </c>
      <c r="Q3" s="6"/>
    </row>
    <row r="4" spans="2:17" ht="23.25" customHeight="1">
      <c r="B4" s="83" t="s">
        <v>2</v>
      </c>
      <c r="C4" s="84"/>
      <c r="D4" s="98"/>
      <c r="E4" s="99"/>
      <c r="F4" s="100"/>
      <c r="G4" s="21" t="s">
        <v>3</v>
      </c>
      <c r="H4" s="98"/>
      <c r="I4" s="99"/>
      <c r="J4" s="100"/>
      <c r="K4" s="18"/>
      <c r="L4" s="2">
        <f>IF(D4="",0,1)</f>
        <v>0</v>
      </c>
      <c r="M4" s="2">
        <f>IF(D4="",1,0)</f>
        <v>1</v>
      </c>
      <c r="N4" s="33"/>
      <c r="P4" s="4" t="s">
        <v>30</v>
      </c>
      <c r="Q4" s="53"/>
    </row>
    <row r="5" spans="2:17">
      <c r="B5" s="15"/>
      <c r="C5" s="18"/>
      <c r="D5" s="18"/>
      <c r="E5" s="16"/>
      <c r="F5" s="18"/>
      <c r="G5" s="17"/>
      <c r="H5" s="18"/>
      <c r="I5" s="18"/>
      <c r="J5" s="19"/>
      <c r="K5" s="16"/>
      <c r="L5" s="2">
        <f>IF(H4="",0,1)</f>
        <v>0</v>
      </c>
      <c r="M5" s="2">
        <f>IF(H4="",1,0)</f>
        <v>1</v>
      </c>
      <c r="N5" s="34" t="s">
        <v>29</v>
      </c>
      <c r="P5" s="4" t="s">
        <v>31</v>
      </c>
      <c r="Q5" s="53"/>
    </row>
    <row r="6" spans="2:17">
      <c r="B6" s="12" t="s">
        <v>4</v>
      </c>
      <c r="C6" s="59" t="s">
        <v>10</v>
      </c>
      <c r="D6" s="59"/>
      <c r="E6" s="59"/>
      <c r="F6" s="59"/>
      <c r="G6" s="59"/>
      <c r="H6" s="59"/>
      <c r="I6" s="59"/>
      <c r="J6" s="59"/>
      <c r="K6" s="17"/>
      <c r="N6" s="35" t="s">
        <v>34</v>
      </c>
      <c r="P6" s="4" t="s">
        <v>32</v>
      </c>
      <c r="Q6" s="48"/>
    </row>
    <row r="7" spans="2:17">
      <c r="B7" s="68" t="s">
        <v>5</v>
      </c>
      <c r="C7" s="68"/>
      <c r="D7" s="64" t="s">
        <v>7</v>
      </c>
      <c r="E7" s="65"/>
      <c r="F7" s="12" t="s">
        <v>28</v>
      </c>
      <c r="G7" s="12" t="s">
        <v>6</v>
      </c>
      <c r="H7" s="64" t="s">
        <v>8</v>
      </c>
      <c r="I7" s="65"/>
      <c r="J7" s="5" t="s">
        <v>9</v>
      </c>
      <c r="K7" s="17"/>
      <c r="N7" s="36" t="s">
        <v>66</v>
      </c>
      <c r="P7" s="4" t="s">
        <v>33</v>
      </c>
      <c r="Q7" s="48"/>
    </row>
    <row r="8" spans="2:17" ht="16.5">
      <c r="B8" s="59" t="s">
        <v>11</v>
      </c>
      <c r="C8" s="59"/>
      <c r="D8" s="66" t="s">
        <v>59</v>
      </c>
      <c r="E8" s="67"/>
      <c r="F8" s="52" t="b">
        <v>0</v>
      </c>
      <c r="G8" s="39" t="str">
        <f>IF(O8=TRUE, "Verified", "")</f>
        <v/>
      </c>
      <c r="H8" s="77"/>
      <c r="I8" s="78"/>
      <c r="J8" s="85"/>
      <c r="K8" s="16"/>
      <c r="L8" s="2">
        <f>IF(G8="Verified",1,0)</f>
        <v>0</v>
      </c>
      <c r="M8" s="2">
        <f>IF(G8="",1,0)</f>
        <v>1</v>
      </c>
      <c r="N8" s="31" t="s">
        <v>69</v>
      </c>
      <c r="O8" s="27" t="b">
        <v>0</v>
      </c>
      <c r="P8" s="4" t="s">
        <v>45</v>
      </c>
      <c r="Q8" s="53"/>
    </row>
    <row r="9" spans="2:17" ht="16.5">
      <c r="B9" s="69" t="s">
        <v>12</v>
      </c>
      <c r="C9" s="69"/>
      <c r="D9" s="66" t="s">
        <v>59</v>
      </c>
      <c r="E9" s="67"/>
      <c r="F9" s="52" t="b">
        <v>0</v>
      </c>
      <c r="G9" s="39" t="str">
        <f t="shared" ref="G9:G15" si="0">IF(O9=TRUE, "Verified", "")</f>
        <v/>
      </c>
      <c r="H9" s="79"/>
      <c r="I9" s="80"/>
      <c r="J9" s="86"/>
      <c r="K9" s="16"/>
      <c r="L9" s="2">
        <f t="shared" ref="L9:L14" si="1">IF(G9="Verified",1,0)</f>
        <v>0</v>
      </c>
      <c r="M9" s="2">
        <f t="shared" ref="M9:M15" si="2">IF(G9="",1,0)</f>
        <v>1</v>
      </c>
      <c r="N9" s="36" t="s">
        <v>67</v>
      </c>
      <c r="O9" s="27" t="b">
        <v>0</v>
      </c>
      <c r="P9" s="4" t="s">
        <v>46</v>
      </c>
      <c r="Q9" s="53"/>
    </row>
    <row r="10" spans="2:17" ht="16.5">
      <c r="B10" s="59" t="s">
        <v>13</v>
      </c>
      <c r="C10" s="59"/>
      <c r="D10" s="66">
        <f>Q2</f>
        <v>0</v>
      </c>
      <c r="E10" s="67"/>
      <c r="F10" s="52" t="b">
        <v>0</v>
      </c>
      <c r="G10" s="39" t="str">
        <f t="shared" si="0"/>
        <v/>
      </c>
      <c r="H10" s="79"/>
      <c r="I10" s="80"/>
      <c r="J10" s="86"/>
      <c r="K10" s="16"/>
      <c r="L10" s="2">
        <f t="shared" si="1"/>
        <v>0</v>
      </c>
      <c r="M10" s="2">
        <f t="shared" si="2"/>
        <v>1</v>
      </c>
      <c r="N10" s="34" t="s">
        <v>69</v>
      </c>
      <c r="O10" s="27" t="b">
        <v>0</v>
      </c>
      <c r="P10" s="4" t="s">
        <v>47</v>
      </c>
      <c r="Q10" s="53"/>
    </row>
    <row r="11" spans="2:17" ht="16.5">
      <c r="B11" s="59" t="s">
        <v>58</v>
      </c>
      <c r="C11" s="59"/>
      <c r="D11" s="72">
        <f>Q3</f>
        <v>0</v>
      </c>
      <c r="E11" s="73"/>
      <c r="F11" s="52" t="b">
        <v>0</v>
      </c>
      <c r="G11" s="39" t="str">
        <f t="shared" si="0"/>
        <v/>
      </c>
      <c r="H11" s="79"/>
      <c r="I11" s="80"/>
      <c r="J11" s="86"/>
      <c r="K11" s="16"/>
      <c r="L11" s="2">
        <f t="shared" si="1"/>
        <v>0</v>
      </c>
      <c r="M11" s="2">
        <f t="shared" si="2"/>
        <v>1</v>
      </c>
      <c r="N11" s="36" t="s">
        <v>72</v>
      </c>
      <c r="O11" s="27" t="b">
        <v>0</v>
      </c>
      <c r="P11" s="4" t="s">
        <v>48</v>
      </c>
      <c r="Q11" s="53"/>
    </row>
    <row r="12" spans="2:17" ht="16.5">
      <c r="B12" s="59" t="s">
        <v>68</v>
      </c>
      <c r="C12" s="59"/>
      <c r="D12" s="66" t="s">
        <v>59</v>
      </c>
      <c r="E12" s="67"/>
      <c r="F12" s="52" t="b">
        <v>0</v>
      </c>
      <c r="G12" s="39" t="str">
        <f t="shared" si="0"/>
        <v/>
      </c>
      <c r="H12" s="79"/>
      <c r="I12" s="80"/>
      <c r="J12" s="86"/>
      <c r="K12" s="16"/>
      <c r="L12" s="2">
        <f t="shared" si="1"/>
        <v>0</v>
      </c>
      <c r="M12" s="2">
        <f t="shared" si="2"/>
        <v>1</v>
      </c>
      <c r="N12" s="34"/>
      <c r="O12" s="27" t="b">
        <v>0</v>
      </c>
      <c r="P12" s="16"/>
      <c r="Q12" s="17"/>
    </row>
    <row r="13" spans="2:17" ht="16.5">
      <c r="B13" s="59" t="s">
        <v>14</v>
      </c>
      <c r="C13" s="59"/>
      <c r="D13" s="66" t="s">
        <v>59</v>
      </c>
      <c r="E13" s="67"/>
      <c r="F13" s="52" t="b">
        <v>0</v>
      </c>
      <c r="G13" s="39" t="str">
        <f t="shared" si="0"/>
        <v/>
      </c>
      <c r="H13" s="79"/>
      <c r="I13" s="80"/>
      <c r="J13" s="86"/>
      <c r="K13" s="16"/>
      <c r="L13" s="2">
        <f>IF(G13="Verified",1,0)</f>
        <v>0</v>
      </c>
      <c r="M13" s="2">
        <f t="shared" si="2"/>
        <v>1</v>
      </c>
      <c r="N13" s="34" t="s">
        <v>29</v>
      </c>
      <c r="O13" s="27" t="b">
        <v>0</v>
      </c>
    </row>
    <row r="14" spans="2:17" ht="16.5">
      <c r="B14" s="59" t="s">
        <v>15</v>
      </c>
      <c r="C14" s="59"/>
      <c r="D14" s="66" t="s">
        <v>59</v>
      </c>
      <c r="E14" s="67"/>
      <c r="F14" s="52" t="b">
        <v>0</v>
      </c>
      <c r="G14" s="39" t="str">
        <f t="shared" si="0"/>
        <v/>
      </c>
      <c r="H14" s="79"/>
      <c r="I14" s="80"/>
      <c r="J14" s="86"/>
      <c r="K14" s="16"/>
      <c r="L14" s="2">
        <f t="shared" si="1"/>
        <v>0</v>
      </c>
      <c r="M14" s="2">
        <f t="shared" si="2"/>
        <v>1</v>
      </c>
      <c r="N14" s="35" t="s">
        <v>34</v>
      </c>
      <c r="O14" s="27" t="b">
        <v>0</v>
      </c>
    </row>
    <row r="15" spans="2:17" ht="16.5">
      <c r="B15" s="59" t="s">
        <v>16</v>
      </c>
      <c r="C15" s="59"/>
      <c r="D15" s="66" t="s">
        <v>59</v>
      </c>
      <c r="E15" s="67"/>
      <c r="F15" s="52" t="b">
        <v>0</v>
      </c>
      <c r="G15" s="39" t="str">
        <f t="shared" si="0"/>
        <v/>
      </c>
      <c r="H15" s="81"/>
      <c r="I15" s="82"/>
      <c r="J15" s="87"/>
      <c r="K15" s="16"/>
      <c r="L15" s="2">
        <f>IF(G15="Verified",1,0)</f>
        <v>0</v>
      </c>
      <c r="M15" s="2">
        <f t="shared" si="2"/>
        <v>1</v>
      </c>
      <c r="N15" s="36" t="s">
        <v>71</v>
      </c>
      <c r="O15" s="27" t="b">
        <v>0</v>
      </c>
    </row>
    <row r="16" spans="2:17">
      <c r="B16" s="15"/>
      <c r="C16" s="18"/>
      <c r="D16" s="18"/>
      <c r="E16" s="16"/>
      <c r="F16" s="18"/>
      <c r="G16" s="17"/>
      <c r="H16" s="18"/>
      <c r="I16" s="18"/>
      <c r="J16" s="19"/>
      <c r="K16" s="16"/>
      <c r="L16" s="2">
        <f>IF(M16=1,0,1)</f>
        <v>0</v>
      </c>
      <c r="M16" s="2">
        <f>IF(H8="",1,0)</f>
        <v>1</v>
      </c>
      <c r="N16" s="34"/>
    </row>
    <row r="17" spans="2:18">
      <c r="B17" s="12" t="s">
        <v>4</v>
      </c>
      <c r="C17" s="59" t="s">
        <v>17</v>
      </c>
      <c r="D17" s="59"/>
      <c r="E17" s="59"/>
      <c r="F17" s="59"/>
      <c r="G17" s="59"/>
      <c r="H17" s="59"/>
      <c r="I17" s="59"/>
      <c r="J17" s="59"/>
      <c r="K17" s="16"/>
      <c r="L17" s="2">
        <f>IF(M17=1,0,1)</f>
        <v>0</v>
      </c>
      <c r="M17" s="2">
        <f>IF(J8="",1,0)</f>
        <v>1</v>
      </c>
      <c r="N17" s="34" t="s">
        <v>29</v>
      </c>
    </row>
    <row r="18" spans="2:18">
      <c r="B18" s="68" t="s">
        <v>5</v>
      </c>
      <c r="C18" s="68"/>
      <c r="D18" s="64" t="s">
        <v>7</v>
      </c>
      <c r="E18" s="65"/>
      <c r="F18" s="12" t="s">
        <v>28</v>
      </c>
      <c r="G18" s="12" t="s">
        <v>6</v>
      </c>
      <c r="H18" s="64" t="s">
        <v>8</v>
      </c>
      <c r="I18" s="65"/>
      <c r="J18" s="5" t="s">
        <v>9</v>
      </c>
      <c r="K18" s="16"/>
      <c r="N18" s="35" t="s">
        <v>70</v>
      </c>
    </row>
    <row r="19" spans="2:18">
      <c r="B19" s="59" t="s">
        <v>25</v>
      </c>
      <c r="C19" s="59"/>
      <c r="D19" s="66" t="s">
        <v>40</v>
      </c>
      <c r="E19" s="67"/>
      <c r="F19" s="51"/>
      <c r="G19" s="39" t="str">
        <f>IF(F19="PASS", "PASS", IF(F19="FAIL","FAIL",IF(F19="EVALUATE CONTACT","EVALUATE","")))</f>
        <v/>
      </c>
      <c r="H19" s="77"/>
      <c r="I19" s="78"/>
      <c r="J19" s="85"/>
      <c r="K19" s="16"/>
      <c r="L19" s="2">
        <f>IF(G19="PASS",1,0)</f>
        <v>0</v>
      </c>
      <c r="M19" s="2">
        <f t="shared" ref="M19:M22" si="3">IF(G19="",1,0)</f>
        <v>1</v>
      </c>
    </row>
    <row r="20" spans="2:18">
      <c r="B20" s="69" t="s">
        <v>26</v>
      </c>
      <c r="C20" s="69"/>
      <c r="D20" s="66" t="s">
        <v>40</v>
      </c>
      <c r="E20" s="67"/>
      <c r="F20" s="51"/>
      <c r="G20" s="39" t="str">
        <f t="shared" ref="G20:G21" si="4">IF(F20="PASS", "PASS", IF(F20="FAIL","FAIL",""))</f>
        <v/>
      </c>
      <c r="H20" s="79"/>
      <c r="I20" s="80"/>
      <c r="J20" s="86"/>
      <c r="K20" s="16"/>
      <c r="L20" s="2">
        <f t="shared" ref="L20:L21" si="5">IF(G20="PASS",1,0)</f>
        <v>0</v>
      </c>
      <c r="M20" s="2">
        <f t="shared" si="3"/>
        <v>1</v>
      </c>
    </row>
    <row r="21" spans="2:18">
      <c r="B21" s="59" t="s">
        <v>27</v>
      </c>
      <c r="C21" s="59"/>
      <c r="D21" s="66" t="s">
        <v>40</v>
      </c>
      <c r="E21" s="67"/>
      <c r="F21" s="51"/>
      <c r="G21" s="39" t="str">
        <f t="shared" si="4"/>
        <v/>
      </c>
      <c r="H21" s="79"/>
      <c r="I21" s="80"/>
      <c r="J21" s="86"/>
      <c r="K21" s="16"/>
      <c r="L21" s="2">
        <f t="shared" si="5"/>
        <v>0</v>
      </c>
      <c r="M21" s="2">
        <f t="shared" si="3"/>
        <v>1</v>
      </c>
    </row>
    <row r="22" spans="2:18">
      <c r="B22" s="59" t="s">
        <v>53</v>
      </c>
      <c r="C22" s="59"/>
      <c r="D22" s="66" t="str">
        <f>IF(Q1="5mm","N/A","Passes Overlay")</f>
        <v>Passes Overlay</v>
      </c>
      <c r="E22" s="67"/>
      <c r="F22" s="51" t="s">
        <v>69</v>
      </c>
      <c r="G22" s="39" t="str">
        <f>IF(Q1="5mm","N/A",IF(F22="PASS", "PASS", IF(F22="FAIL","FAIL",IF(F22="N/A","N/A",""))))</f>
        <v>N/A</v>
      </c>
      <c r="H22" s="81"/>
      <c r="I22" s="82"/>
      <c r="J22" s="87"/>
      <c r="K22" s="16"/>
      <c r="L22" s="2">
        <f>IF(G22="PASS",1,0)</f>
        <v>0</v>
      </c>
      <c r="M22" s="2">
        <f t="shared" si="3"/>
        <v>0</v>
      </c>
    </row>
    <row r="23" spans="2:18">
      <c r="B23" s="15"/>
      <c r="C23" s="18"/>
      <c r="D23" s="18"/>
      <c r="E23" s="16"/>
      <c r="F23" s="18"/>
      <c r="G23" s="17"/>
      <c r="H23" s="18"/>
      <c r="I23" s="18"/>
      <c r="J23" s="19"/>
      <c r="K23" s="16"/>
      <c r="L23" s="2">
        <f>IF(M23=1,0,1)</f>
        <v>0</v>
      </c>
      <c r="M23" s="2">
        <f>IF(H19="",1,0)</f>
        <v>1</v>
      </c>
    </row>
    <row r="24" spans="2:18">
      <c r="B24" s="12" t="s">
        <v>4</v>
      </c>
      <c r="C24" s="59" t="s">
        <v>18</v>
      </c>
      <c r="D24" s="59"/>
      <c r="E24" s="59"/>
      <c r="F24" s="59"/>
      <c r="G24" s="59"/>
      <c r="H24" s="59"/>
      <c r="I24" s="59"/>
      <c r="J24" s="59"/>
      <c r="K24" s="16"/>
      <c r="L24" s="2">
        <f>IF(M24=1,0,1)</f>
        <v>0</v>
      </c>
      <c r="M24" s="2">
        <f>IF(J19="",1,0)</f>
        <v>1</v>
      </c>
    </row>
    <row r="25" spans="2:18">
      <c r="B25" s="8" t="s">
        <v>5</v>
      </c>
      <c r="C25" s="10" t="s">
        <v>35</v>
      </c>
      <c r="D25" s="64" t="s">
        <v>36</v>
      </c>
      <c r="E25" s="65"/>
      <c r="F25" s="12" t="s">
        <v>28</v>
      </c>
      <c r="G25" s="12" t="s">
        <v>6</v>
      </c>
      <c r="H25" s="64" t="s">
        <v>8</v>
      </c>
      <c r="I25" s="65"/>
      <c r="J25" s="5" t="s">
        <v>9</v>
      </c>
      <c r="K25" s="16"/>
    </row>
    <row r="26" spans="2:18" ht="21" customHeight="1">
      <c r="B26" s="41" t="s">
        <v>19</v>
      </c>
      <c r="C26" s="9">
        <f>Q4</f>
        <v>0</v>
      </c>
      <c r="D26" s="70">
        <f>Q5</f>
        <v>0</v>
      </c>
      <c r="E26" s="71"/>
      <c r="F26" s="54"/>
      <c r="G26" s="40" t="str">
        <f>IF(F26="","",IF(AND(ROUND(F26,1)&gt;=C26, ROUND(F26,1)&lt;=D26),"PASS","FAIL"))</f>
        <v/>
      </c>
      <c r="H26" s="74"/>
      <c r="I26" s="75"/>
      <c r="J26" s="41"/>
      <c r="K26" s="16"/>
      <c r="L26" s="2">
        <f>IF(G26="PASS",1,0)</f>
        <v>0</v>
      </c>
      <c r="M26" s="2">
        <f t="shared" ref="M26" si="6">IF(G26="",1,0)</f>
        <v>1</v>
      </c>
    </row>
    <row r="27" spans="2:18">
      <c r="B27" s="15"/>
      <c r="C27" s="18"/>
      <c r="D27" s="18"/>
      <c r="E27" s="16"/>
      <c r="F27" s="18"/>
      <c r="G27" s="17"/>
      <c r="H27" s="18"/>
      <c r="I27" s="18"/>
      <c r="J27" s="19"/>
      <c r="K27" s="16"/>
      <c r="L27" s="2">
        <f>IF(M27=1,0,1)</f>
        <v>0</v>
      </c>
      <c r="M27" s="2">
        <f>IF(H26="",1,0)</f>
        <v>1</v>
      </c>
    </row>
    <row r="28" spans="2:18">
      <c r="B28" s="12" t="s">
        <v>4</v>
      </c>
      <c r="C28" s="59" t="s">
        <v>20</v>
      </c>
      <c r="D28" s="59"/>
      <c r="E28" s="59"/>
      <c r="F28" s="59"/>
      <c r="G28" s="59"/>
      <c r="H28" s="59"/>
      <c r="I28" s="59"/>
      <c r="J28" s="59"/>
      <c r="K28" s="16"/>
      <c r="L28" s="2">
        <f>IF(M28=1,0,1)</f>
        <v>0</v>
      </c>
      <c r="M28" s="2">
        <f>IF(J26="",1,0)</f>
        <v>1</v>
      </c>
    </row>
    <row r="29" spans="2:18">
      <c r="B29" s="68" t="s">
        <v>5</v>
      </c>
      <c r="C29" s="68"/>
      <c r="D29" s="64" t="s">
        <v>7</v>
      </c>
      <c r="E29" s="65"/>
      <c r="F29" s="12" t="s">
        <v>28</v>
      </c>
      <c r="G29" s="12" t="s">
        <v>6</v>
      </c>
      <c r="H29" s="64" t="s">
        <v>8</v>
      </c>
      <c r="I29" s="65"/>
      <c r="J29" s="5" t="s">
        <v>9</v>
      </c>
      <c r="K29" s="16"/>
      <c r="N29" s="2"/>
    </row>
    <row r="30" spans="2:18" ht="16.5">
      <c r="B30" s="59" t="s">
        <v>37</v>
      </c>
      <c r="C30" s="59"/>
      <c r="D30" s="66" t="s">
        <v>59</v>
      </c>
      <c r="E30" s="67"/>
      <c r="F30" s="52" t="b">
        <v>0</v>
      </c>
      <c r="G30" s="39" t="str">
        <f>IF(O30=TRUE, "Verified", "")</f>
        <v/>
      </c>
      <c r="H30" s="77"/>
      <c r="I30" s="78"/>
      <c r="J30" s="85"/>
      <c r="K30" s="16"/>
      <c r="L30" s="2">
        <f t="shared" ref="L30" si="7">IF(G30="Verified",1,0)</f>
        <v>0</v>
      </c>
      <c r="M30" s="2">
        <f t="shared" ref="M30:M31" si="8">IF(G30="",1,0)</f>
        <v>1</v>
      </c>
      <c r="O30" s="27" t="b">
        <v>0</v>
      </c>
    </row>
    <row r="31" spans="2:18" s="1" customFormat="1" ht="17.25" customHeight="1">
      <c r="B31" s="119" t="s">
        <v>38</v>
      </c>
      <c r="C31" s="120"/>
      <c r="D31" s="121" t="s">
        <v>39</v>
      </c>
      <c r="E31" s="122"/>
      <c r="F31" s="51"/>
      <c r="G31" s="40" t="str">
        <f>IF(F31="","", IF(F31="PASS", "PASS", "FAIL"))</f>
        <v/>
      </c>
      <c r="H31" s="81"/>
      <c r="I31" s="82"/>
      <c r="J31" s="87"/>
      <c r="K31" s="16"/>
      <c r="L31" s="2">
        <f>IF(G31="PASS",1,0)</f>
        <v>0</v>
      </c>
      <c r="M31" s="2">
        <f t="shared" si="8"/>
        <v>1</v>
      </c>
      <c r="N31" s="3"/>
      <c r="O31" s="29"/>
      <c r="R31" s="2"/>
    </row>
    <row r="32" spans="2:18">
      <c r="B32" s="15"/>
      <c r="C32" s="18"/>
      <c r="D32" s="18"/>
      <c r="E32" s="16"/>
      <c r="F32" s="18"/>
      <c r="G32" s="17"/>
      <c r="H32" s="18"/>
      <c r="I32" s="18"/>
      <c r="J32" s="19"/>
      <c r="K32" s="16"/>
      <c r="L32" s="2">
        <f>IF(M32=1,0,1)</f>
        <v>0</v>
      </c>
      <c r="M32" s="2">
        <f>IF(H30="",1,0)</f>
        <v>1</v>
      </c>
    </row>
    <row r="33" spans="2:15">
      <c r="B33" s="12" t="s">
        <v>4</v>
      </c>
      <c r="C33" s="59" t="s">
        <v>21</v>
      </c>
      <c r="D33" s="59"/>
      <c r="E33" s="59"/>
      <c r="F33" s="59"/>
      <c r="G33" s="59"/>
      <c r="H33" s="59"/>
      <c r="I33" s="59"/>
      <c r="J33" s="59"/>
      <c r="K33" s="16"/>
      <c r="L33" s="2">
        <f>IF(M33=1,0,1)</f>
        <v>0</v>
      </c>
      <c r="M33" s="2">
        <f>IF(J30="",1,0)</f>
        <v>1</v>
      </c>
    </row>
    <row r="34" spans="2:15">
      <c r="B34" s="68" t="s">
        <v>5</v>
      </c>
      <c r="C34" s="68"/>
      <c r="D34" s="64" t="s">
        <v>7</v>
      </c>
      <c r="E34" s="65"/>
      <c r="F34" s="12" t="s">
        <v>28</v>
      </c>
      <c r="G34" s="12" t="s">
        <v>6</v>
      </c>
      <c r="H34" s="64" t="s">
        <v>8</v>
      </c>
      <c r="I34" s="65"/>
      <c r="J34" s="5" t="s">
        <v>9</v>
      </c>
      <c r="K34" s="16"/>
    </row>
    <row r="35" spans="2:15">
      <c r="B35" s="97" t="s">
        <v>41</v>
      </c>
      <c r="C35" s="13" t="s">
        <v>42</v>
      </c>
      <c r="D35" s="74">
        <f>Q6</f>
        <v>0</v>
      </c>
      <c r="E35" s="75"/>
      <c r="F35" s="51"/>
      <c r="G35" s="39" t="str">
        <f>IF(F35="","",IF(F35=D35, "PASS", "FAIL "))</f>
        <v/>
      </c>
      <c r="H35" s="88"/>
      <c r="I35" s="89"/>
      <c r="J35" s="94"/>
      <c r="K35" s="16"/>
      <c r="L35" s="2">
        <f>IF(G35="PASS",1,0)</f>
        <v>0</v>
      </c>
      <c r="M35" s="2">
        <f t="shared" ref="M35:M40" si="9">IF(G35="",1,0)</f>
        <v>1</v>
      </c>
    </row>
    <row r="36" spans="2:15">
      <c r="B36" s="97"/>
      <c r="C36" s="13" t="s">
        <v>43</v>
      </c>
      <c r="D36" s="74">
        <f>Q7</f>
        <v>0</v>
      </c>
      <c r="E36" s="76"/>
      <c r="F36" s="51"/>
      <c r="G36" s="39" t="str">
        <f>IF(F36="","",IF(F36=D36, "PASS", "FAIL "))</f>
        <v/>
      </c>
      <c r="H36" s="90"/>
      <c r="I36" s="91"/>
      <c r="J36" s="95"/>
      <c r="K36" s="16"/>
      <c r="L36" s="2">
        <f>IF(G36="PASS",1,0)</f>
        <v>0</v>
      </c>
      <c r="M36" s="2">
        <f>IF(G36="",1,0)</f>
        <v>1</v>
      </c>
    </row>
    <row r="37" spans="2:15">
      <c r="B37" s="74" t="s">
        <v>79</v>
      </c>
      <c r="C37" s="75"/>
      <c r="D37" s="123" t="s">
        <v>80</v>
      </c>
      <c r="E37" s="124"/>
      <c r="F37" s="51"/>
      <c r="G37" s="39" t="str">
        <f t="shared" ref="G37" si="10">IF(F37="PASS", "PASS", IF(F37="FAIL","FAIL",""))</f>
        <v/>
      </c>
      <c r="H37" s="90"/>
      <c r="I37" s="91"/>
      <c r="J37" s="95"/>
      <c r="K37" s="16"/>
      <c r="L37" s="2">
        <f>IF(G37="PASS",1,0)</f>
        <v>0</v>
      </c>
      <c r="M37" s="2">
        <f t="shared" ref="M37" si="11">IF(G37="",1,0)</f>
        <v>1</v>
      </c>
    </row>
    <row r="38" spans="2:15">
      <c r="B38" s="68" t="s">
        <v>5</v>
      </c>
      <c r="C38" s="68"/>
      <c r="D38" s="10" t="s">
        <v>35</v>
      </c>
      <c r="E38" s="10" t="s">
        <v>44</v>
      </c>
      <c r="F38" s="50" t="s">
        <v>28</v>
      </c>
      <c r="G38" s="12" t="s">
        <v>6</v>
      </c>
      <c r="H38" s="90"/>
      <c r="I38" s="91"/>
      <c r="J38" s="95"/>
      <c r="K38" s="16"/>
    </row>
    <row r="39" spans="2:15">
      <c r="B39" s="116" t="s">
        <v>77</v>
      </c>
      <c r="C39" s="11" t="s">
        <v>42</v>
      </c>
      <c r="D39" s="11">
        <f>Q8</f>
        <v>0</v>
      </c>
      <c r="E39" s="14">
        <f>Q9</f>
        <v>0</v>
      </c>
      <c r="F39" s="55"/>
      <c r="G39" s="39" t="str">
        <f>IF(F39="","",IF(AND(ROUND(F39,0)&gt;=D39, ROUND(F39,0)&lt;=E39),"PASS","FAIL"))</f>
        <v/>
      </c>
      <c r="H39" s="90"/>
      <c r="I39" s="91"/>
      <c r="J39" s="95"/>
      <c r="K39" s="16"/>
      <c r="L39" s="2">
        <f>IF(G39="PASS",1,0)</f>
        <v>0</v>
      </c>
      <c r="M39" s="2">
        <f t="shared" si="9"/>
        <v>1</v>
      </c>
    </row>
    <row r="40" spans="2:15" ht="15" customHeight="1">
      <c r="B40" s="117"/>
      <c r="C40" s="11" t="s">
        <v>43</v>
      </c>
      <c r="D40" s="11">
        <f>Q8</f>
        <v>0</v>
      </c>
      <c r="E40" s="14">
        <f>Q9</f>
        <v>0</v>
      </c>
      <c r="F40" s="55"/>
      <c r="G40" s="39" t="str">
        <f>IF(F40="","",IF(AND(ROUND(F40,0)&gt;=D40, ROUND(F40,0)&lt;=E40),"PASS","FAIL"))</f>
        <v/>
      </c>
      <c r="H40" s="92"/>
      <c r="I40" s="93"/>
      <c r="J40" s="96"/>
      <c r="K40" s="16"/>
      <c r="L40" s="2">
        <f>IF(G40="PASS",1,0)</f>
        <v>0</v>
      </c>
      <c r="M40" s="2">
        <f t="shared" si="9"/>
        <v>1</v>
      </c>
    </row>
    <row r="41" spans="2:15">
      <c r="B41" s="15"/>
      <c r="C41" s="18"/>
      <c r="D41" s="18"/>
      <c r="E41" s="16"/>
      <c r="F41" s="18"/>
      <c r="G41" s="17"/>
      <c r="H41" s="18"/>
      <c r="I41" s="18"/>
      <c r="J41" s="19"/>
      <c r="K41" s="16"/>
      <c r="L41" s="2">
        <f>IF(M41=1,0,1)</f>
        <v>0</v>
      </c>
      <c r="M41" s="2">
        <f>IF(H35="",1,0)</f>
        <v>1</v>
      </c>
    </row>
    <row r="42" spans="2:15">
      <c r="B42" s="12" t="s">
        <v>4</v>
      </c>
      <c r="C42" s="59" t="s">
        <v>22</v>
      </c>
      <c r="D42" s="59"/>
      <c r="E42" s="59"/>
      <c r="F42" s="59"/>
      <c r="G42" s="59"/>
      <c r="H42" s="59"/>
      <c r="I42" s="59"/>
      <c r="J42" s="59"/>
      <c r="K42" s="16"/>
      <c r="L42" s="2">
        <f>IF(M42=1,0,1)</f>
        <v>0</v>
      </c>
      <c r="M42" s="2">
        <f>IF(J35="",1,0)</f>
        <v>1</v>
      </c>
    </row>
    <row r="43" spans="2:15">
      <c r="B43" s="68" t="s">
        <v>5</v>
      </c>
      <c r="C43" s="68"/>
      <c r="D43" s="10" t="s">
        <v>35</v>
      </c>
      <c r="E43" s="10" t="s">
        <v>36</v>
      </c>
      <c r="F43" s="12" t="s">
        <v>28</v>
      </c>
      <c r="G43" s="12" t="s">
        <v>6</v>
      </c>
      <c r="H43" s="64" t="s">
        <v>8</v>
      </c>
      <c r="I43" s="65"/>
      <c r="J43" s="5" t="s">
        <v>9</v>
      </c>
      <c r="K43" s="16"/>
    </row>
    <row r="44" spans="2:15" ht="21" customHeight="1">
      <c r="B44" s="97" t="s">
        <v>49</v>
      </c>
      <c r="C44" s="97"/>
      <c r="D44" s="41">
        <f>Q10</f>
        <v>0</v>
      </c>
      <c r="E44" s="41">
        <f>Q11</f>
        <v>0</v>
      </c>
      <c r="F44" s="55"/>
      <c r="G44" s="40" t="str">
        <f>IF(F44="","",IF(AND(ROUND(F44,0)&gt;=D44, ROUND(F44,0)&lt;=E44),"PASS","FAIL"))</f>
        <v/>
      </c>
      <c r="H44" s="74"/>
      <c r="I44" s="75"/>
      <c r="J44" s="41"/>
      <c r="K44" s="16"/>
      <c r="L44" s="2">
        <f>IF(G44="PASS",1,0)</f>
        <v>0</v>
      </c>
      <c r="M44" s="2">
        <f t="shared" ref="M44" si="12">IF(G44="",1,0)</f>
        <v>1</v>
      </c>
    </row>
    <row r="45" spans="2:15">
      <c r="B45" s="15"/>
      <c r="C45" s="18"/>
      <c r="D45" s="18"/>
      <c r="E45" s="16"/>
      <c r="F45" s="18"/>
      <c r="G45" s="17"/>
      <c r="H45" s="18"/>
      <c r="I45" s="18"/>
      <c r="J45" s="19"/>
      <c r="K45" s="16"/>
      <c r="L45" s="2">
        <f>IF(M45=1,0,1)</f>
        <v>0</v>
      </c>
      <c r="M45" s="2">
        <f>IF(H44="",1,0)</f>
        <v>1</v>
      </c>
    </row>
    <row r="46" spans="2:15">
      <c r="B46" s="12" t="s">
        <v>4</v>
      </c>
      <c r="C46" s="59" t="s">
        <v>23</v>
      </c>
      <c r="D46" s="59"/>
      <c r="E46" s="59"/>
      <c r="F46" s="59"/>
      <c r="G46" s="59"/>
      <c r="H46" s="59"/>
      <c r="I46" s="59"/>
      <c r="J46" s="59"/>
      <c r="K46" s="16"/>
      <c r="L46" s="2">
        <f>IF(M46=1,0,1)</f>
        <v>0</v>
      </c>
      <c r="M46" s="2">
        <f>IF(J44="",1,0)</f>
        <v>1</v>
      </c>
    </row>
    <row r="47" spans="2:15">
      <c r="B47" s="68" t="s">
        <v>5</v>
      </c>
      <c r="C47" s="68"/>
      <c r="D47" s="64" t="s">
        <v>7</v>
      </c>
      <c r="E47" s="65"/>
      <c r="F47" s="12" t="s">
        <v>28</v>
      </c>
      <c r="G47" s="12" t="s">
        <v>6</v>
      </c>
      <c r="H47" s="64" t="s">
        <v>8</v>
      </c>
      <c r="I47" s="65"/>
      <c r="J47" s="5" t="s">
        <v>9</v>
      </c>
      <c r="K47" s="16"/>
    </row>
    <row r="48" spans="2:15" ht="16.5">
      <c r="B48" s="59" t="s">
        <v>50</v>
      </c>
      <c r="C48" s="59"/>
      <c r="D48" s="66" t="s">
        <v>59</v>
      </c>
      <c r="E48" s="67"/>
      <c r="F48" s="52" t="b">
        <v>0</v>
      </c>
      <c r="G48" s="39" t="str">
        <f>IF(O48=TRUE, "Verified", "")</f>
        <v/>
      </c>
      <c r="H48" s="77"/>
      <c r="I48" s="78"/>
      <c r="J48" s="85"/>
      <c r="K48" s="16"/>
      <c r="L48" s="2">
        <f t="shared" ref="L48:L49" si="13">IF(G48="Verified",1,0)</f>
        <v>0</v>
      </c>
      <c r="M48" s="2">
        <f t="shared" ref="M48:M49" si="14">IF(G48="",1,0)</f>
        <v>1</v>
      </c>
      <c r="O48" s="27" t="b">
        <v>0</v>
      </c>
    </row>
    <row r="49" spans="2:15" ht="17.25" customHeight="1">
      <c r="B49" s="69" t="s">
        <v>51</v>
      </c>
      <c r="C49" s="69"/>
      <c r="D49" s="66" t="s">
        <v>59</v>
      </c>
      <c r="E49" s="67"/>
      <c r="F49" s="52" t="b">
        <v>0</v>
      </c>
      <c r="G49" s="39" t="str">
        <f>IF(O49=TRUE, "Verified", "")</f>
        <v/>
      </c>
      <c r="H49" s="81"/>
      <c r="I49" s="82"/>
      <c r="J49" s="87"/>
      <c r="K49" s="16"/>
      <c r="L49" s="2">
        <f t="shared" si="13"/>
        <v>0</v>
      </c>
      <c r="M49" s="2">
        <f t="shared" si="14"/>
        <v>1</v>
      </c>
      <c r="O49" s="27" t="b">
        <v>0</v>
      </c>
    </row>
    <row r="50" spans="2:15">
      <c r="B50" s="15"/>
      <c r="C50" s="18"/>
      <c r="D50" s="18"/>
      <c r="E50" s="16"/>
      <c r="F50" s="18"/>
      <c r="G50" s="17"/>
      <c r="H50" s="18"/>
      <c r="I50" s="18"/>
      <c r="J50" s="19"/>
      <c r="K50" s="16"/>
      <c r="L50" s="2">
        <f>IF(M50=1,0,1)</f>
        <v>0</v>
      </c>
      <c r="M50" s="2">
        <f>IF(H48="",1,0)</f>
        <v>1</v>
      </c>
    </row>
    <row r="51" spans="2:15">
      <c r="B51" s="12" t="s">
        <v>4</v>
      </c>
      <c r="C51" s="59" t="s">
        <v>24</v>
      </c>
      <c r="D51" s="59"/>
      <c r="E51" s="59"/>
      <c r="F51" s="59"/>
      <c r="G51" s="59"/>
      <c r="H51" s="59"/>
      <c r="I51" s="59"/>
      <c r="J51" s="59"/>
      <c r="K51" s="16"/>
      <c r="L51" s="2">
        <f>IF(M51=1,0,1)</f>
        <v>0</v>
      </c>
      <c r="M51" s="2">
        <f>IF(J48="",1,0)</f>
        <v>1</v>
      </c>
      <c r="N51" s="2"/>
    </row>
    <row r="52" spans="2:15">
      <c r="B52" s="68" t="s">
        <v>5</v>
      </c>
      <c r="C52" s="68"/>
      <c r="D52" s="64" t="s">
        <v>7</v>
      </c>
      <c r="E52" s="65"/>
      <c r="F52" s="12" t="s">
        <v>28</v>
      </c>
      <c r="G52" s="12" t="s">
        <v>6</v>
      </c>
      <c r="H52" s="64" t="s">
        <v>8</v>
      </c>
      <c r="I52" s="65"/>
      <c r="J52" s="5" t="s">
        <v>9</v>
      </c>
      <c r="K52" s="16"/>
    </row>
    <row r="53" spans="2:15" s="2" customFormat="1" ht="33.950000000000003" customHeight="1">
      <c r="B53" s="85" t="s">
        <v>52</v>
      </c>
      <c r="C53" s="85"/>
      <c r="D53" s="62" t="s">
        <v>81</v>
      </c>
      <c r="E53" s="63"/>
      <c r="F53" s="52" t="b">
        <v>0</v>
      </c>
      <c r="G53" s="47" t="str">
        <f>IF(O53=TRUE, "Verified", "")</f>
        <v/>
      </c>
      <c r="H53" s="77"/>
      <c r="I53" s="78"/>
      <c r="J53" s="25"/>
      <c r="K53" s="26"/>
      <c r="L53" s="2">
        <f t="shared" ref="L53" si="15">IF(G53="Verified",1,0)</f>
        <v>0</v>
      </c>
      <c r="M53" s="2">
        <f t="shared" ref="M53" si="16">IF(G53="",1,0)</f>
        <v>1</v>
      </c>
      <c r="N53" s="3"/>
      <c r="O53" s="30" t="b">
        <v>0</v>
      </c>
    </row>
    <row r="54" spans="2:15" ht="31.5" customHeight="1">
      <c r="B54" s="74" t="s">
        <v>75</v>
      </c>
      <c r="C54" s="75"/>
      <c r="D54" s="69" t="s">
        <v>76</v>
      </c>
      <c r="E54" s="69"/>
      <c r="F54" s="49" t="str">
        <f>IF(L57=43, "✓","")</f>
        <v/>
      </c>
      <c r="G54" s="47" t="str">
        <f>IF(F54="✓", "PASS", "FAIL")</f>
        <v>FAIL</v>
      </c>
      <c r="H54" s="64" t="s">
        <v>73</v>
      </c>
      <c r="I54" s="118"/>
      <c r="J54" s="65"/>
      <c r="K54" s="16"/>
      <c r="L54" s="2">
        <f>IF(M54=1,0,1)</f>
        <v>0</v>
      </c>
      <c r="M54" s="2">
        <f>IF(H53="",1,0)</f>
        <v>1</v>
      </c>
    </row>
    <row r="55" spans="2:15">
      <c r="B55" s="104" t="s">
        <v>57</v>
      </c>
      <c r="C55" s="77"/>
      <c r="D55" s="107"/>
      <c r="E55" s="107"/>
      <c r="F55" s="107"/>
      <c r="G55" s="78"/>
      <c r="H55" s="104" t="s">
        <v>56</v>
      </c>
      <c r="I55" s="110"/>
      <c r="J55" s="111"/>
      <c r="K55" s="17"/>
      <c r="L55" s="2">
        <f>IF(M55=1,0,1)</f>
        <v>0</v>
      </c>
      <c r="M55" s="2">
        <f>IF(J53="",1,0)</f>
        <v>1</v>
      </c>
    </row>
    <row r="56" spans="2:15">
      <c r="B56" s="105"/>
      <c r="C56" s="79"/>
      <c r="D56" s="108"/>
      <c r="E56" s="108"/>
      <c r="F56" s="108"/>
      <c r="G56" s="80"/>
      <c r="H56" s="105"/>
      <c r="I56" s="112"/>
      <c r="J56" s="113"/>
      <c r="K56" s="17"/>
    </row>
    <row r="57" spans="2:15">
      <c r="B57" s="106"/>
      <c r="C57" s="81"/>
      <c r="D57" s="109"/>
      <c r="E57" s="109"/>
      <c r="F57" s="109"/>
      <c r="G57" s="82"/>
      <c r="H57" s="106"/>
      <c r="I57" s="114"/>
      <c r="J57" s="115"/>
      <c r="K57" s="17"/>
      <c r="L57" s="2">
        <f>SUM(L2:L55)</f>
        <v>0</v>
      </c>
      <c r="M57" s="2">
        <f>SUM(M2:M55)</f>
        <v>43</v>
      </c>
    </row>
    <row r="58" spans="2:15" ht="33" customHeight="1">
      <c r="B58" s="56"/>
      <c r="C58" s="57"/>
      <c r="D58" s="57"/>
      <c r="E58" s="57"/>
      <c r="F58" s="57"/>
      <c r="G58" s="57"/>
      <c r="H58" s="57"/>
      <c r="I58" s="57"/>
      <c r="J58" s="58"/>
      <c r="K58" s="17"/>
    </row>
    <row r="59" spans="2:15" ht="33" customHeight="1">
      <c r="B59" s="43" t="s">
        <v>54</v>
      </c>
      <c r="C59" s="42"/>
      <c r="D59" s="42"/>
      <c r="E59" s="44"/>
      <c r="F59" s="42"/>
      <c r="G59" s="45"/>
      <c r="H59" s="42"/>
      <c r="I59" s="42"/>
      <c r="J59" s="46" t="s">
        <v>55</v>
      </c>
      <c r="K59" s="16"/>
    </row>
  </sheetData>
  <sheetProtection password="83AF" sheet="1" objects="1" scenarios="1" selectLockedCells="1"/>
  <dataConsolidate/>
  <mergeCells count="102">
    <mergeCell ref="B30:C30"/>
    <mergeCell ref="B31:C31"/>
    <mergeCell ref="D29:E29"/>
    <mergeCell ref="D30:E30"/>
    <mergeCell ref="D31:E31"/>
    <mergeCell ref="C42:J42"/>
    <mergeCell ref="B43:C43"/>
    <mergeCell ref="D34:E34"/>
    <mergeCell ref="B37:C37"/>
    <mergeCell ref="D37:E37"/>
    <mergeCell ref="B55:B57"/>
    <mergeCell ref="C55:G57"/>
    <mergeCell ref="H44:I44"/>
    <mergeCell ref="H52:I52"/>
    <mergeCell ref="H55:H57"/>
    <mergeCell ref="I55:J57"/>
    <mergeCell ref="B34:C34"/>
    <mergeCell ref="B35:B36"/>
    <mergeCell ref="B39:B40"/>
    <mergeCell ref="D35:E35"/>
    <mergeCell ref="C51:J51"/>
    <mergeCell ref="D47:E47"/>
    <mergeCell ref="D48:E48"/>
    <mergeCell ref="D49:E49"/>
    <mergeCell ref="H48:I49"/>
    <mergeCell ref="J48:J49"/>
    <mergeCell ref="B47:C47"/>
    <mergeCell ref="B49:C49"/>
    <mergeCell ref="H47:I47"/>
    <mergeCell ref="H54:J54"/>
    <mergeCell ref="H53:I53"/>
    <mergeCell ref="D54:E54"/>
    <mergeCell ref="B48:C48"/>
    <mergeCell ref="H34:I34"/>
    <mergeCell ref="B2:C2"/>
    <mergeCell ref="B3:C3"/>
    <mergeCell ref="D4:F4"/>
    <mergeCell ref="H4:J4"/>
    <mergeCell ref="H7:I7"/>
    <mergeCell ref="H8:I15"/>
    <mergeCell ref="B15:C15"/>
    <mergeCell ref="D2:J2"/>
    <mergeCell ref="D3:J3"/>
    <mergeCell ref="D7:E7"/>
    <mergeCell ref="D8:E8"/>
    <mergeCell ref="D9:E9"/>
    <mergeCell ref="B9:C9"/>
    <mergeCell ref="B10:C10"/>
    <mergeCell ref="B12:C12"/>
    <mergeCell ref="B13:C13"/>
    <mergeCell ref="B14:C14"/>
    <mergeCell ref="J8:J15"/>
    <mergeCell ref="D14:E14"/>
    <mergeCell ref="D15:E15"/>
    <mergeCell ref="H26:I26"/>
    <mergeCell ref="H25:I25"/>
    <mergeCell ref="D36:E36"/>
    <mergeCell ref="B22:C22"/>
    <mergeCell ref="H19:I22"/>
    <mergeCell ref="B54:C54"/>
    <mergeCell ref="B4:C4"/>
    <mergeCell ref="C6:J6"/>
    <mergeCell ref="B7:C7"/>
    <mergeCell ref="B8:C8"/>
    <mergeCell ref="J19:J22"/>
    <mergeCell ref="H30:I31"/>
    <mergeCell ref="J30:J31"/>
    <mergeCell ref="H18:I18"/>
    <mergeCell ref="H35:I40"/>
    <mergeCell ref="J35:J40"/>
    <mergeCell ref="C33:J33"/>
    <mergeCell ref="B52:C52"/>
    <mergeCell ref="B53:C53"/>
    <mergeCell ref="B44:C44"/>
    <mergeCell ref="C46:J46"/>
    <mergeCell ref="H29:I29"/>
    <mergeCell ref="H43:I43"/>
    <mergeCell ref="B29:C29"/>
    <mergeCell ref="B58:J58"/>
    <mergeCell ref="C28:J28"/>
    <mergeCell ref="C24:J24"/>
    <mergeCell ref="D1:E1"/>
    <mergeCell ref="D53:E53"/>
    <mergeCell ref="D52:E52"/>
    <mergeCell ref="B11:C11"/>
    <mergeCell ref="D18:E18"/>
    <mergeCell ref="D19:E19"/>
    <mergeCell ref="D20:E20"/>
    <mergeCell ref="D21:E21"/>
    <mergeCell ref="C17:J17"/>
    <mergeCell ref="B18:C18"/>
    <mergeCell ref="B19:C19"/>
    <mergeCell ref="B20:C20"/>
    <mergeCell ref="B38:C38"/>
    <mergeCell ref="B21:C21"/>
    <mergeCell ref="D10:E10"/>
    <mergeCell ref="D22:E22"/>
    <mergeCell ref="D25:E25"/>
    <mergeCell ref="D26:E26"/>
    <mergeCell ref="D11:E11"/>
    <mergeCell ref="D13:E13"/>
    <mergeCell ref="D12:E12"/>
  </mergeCells>
  <conditionalFormatting sqref="G8:G15 G30 G48:G49 G53:G54">
    <cfRule type="containsText" dxfId="20" priority="60" operator="containsText" text="Verified">
      <formula>NOT(ISERROR(SEARCH("Verified",G8)))</formula>
    </cfRule>
  </conditionalFormatting>
  <conditionalFormatting sqref="G22">
    <cfRule type="containsText" dxfId="19" priority="22" operator="containsText" text="NOT REQUIRED">
      <formula>NOT(ISERROR(SEARCH("NOT REQUIRED",G22)))</formula>
    </cfRule>
  </conditionalFormatting>
  <conditionalFormatting sqref="G54 G26 G31 G19:G22 D1 G39:G40 G44 G35:G37">
    <cfRule type="containsText" dxfId="18" priority="47" operator="containsText" text="FAIL">
      <formula>NOT(ISERROR(SEARCH("FAIL",D1)))</formula>
    </cfRule>
    <cfRule type="containsText" dxfId="17" priority="48" operator="containsText" text="PASS">
      <formula>NOT(ISERROR(SEARCH("PASS",D1)))</formula>
    </cfRule>
  </conditionalFormatting>
  <conditionalFormatting sqref="D1:E1">
    <cfRule type="containsText" dxfId="16" priority="19" operator="containsText" text="Incomplete">
      <formula>NOT(ISERROR(SEARCH("Incomplete",D1)))</formula>
    </cfRule>
  </conditionalFormatting>
  <conditionalFormatting sqref="F8">
    <cfRule type="expression" dxfId="15" priority="16">
      <formula>$G8=""</formula>
    </cfRule>
  </conditionalFormatting>
  <conditionalFormatting sqref="F9:F15">
    <cfRule type="expression" dxfId="14" priority="15">
      <formula>$G9=""</formula>
    </cfRule>
  </conditionalFormatting>
  <conditionalFormatting sqref="F19:F22">
    <cfRule type="expression" dxfId="13" priority="14">
      <formula>$G19=""</formula>
    </cfRule>
  </conditionalFormatting>
  <conditionalFormatting sqref="F26">
    <cfRule type="expression" dxfId="12" priority="13">
      <formula>$G26=""</formula>
    </cfRule>
  </conditionalFormatting>
  <conditionalFormatting sqref="F31">
    <cfRule type="expression" dxfId="11" priority="12">
      <formula>$G31=""</formula>
    </cfRule>
  </conditionalFormatting>
  <conditionalFormatting sqref="F30">
    <cfRule type="expression" dxfId="10" priority="11">
      <formula>$G30=""</formula>
    </cfRule>
  </conditionalFormatting>
  <conditionalFormatting sqref="F35:F37">
    <cfRule type="expression" dxfId="9" priority="10">
      <formula>$G35=""</formula>
    </cfRule>
  </conditionalFormatting>
  <conditionalFormatting sqref="F39:F40">
    <cfRule type="expression" dxfId="8" priority="9">
      <formula>$G39=""</formula>
    </cfRule>
  </conditionalFormatting>
  <conditionalFormatting sqref="F44">
    <cfRule type="expression" dxfId="7" priority="8">
      <formula>$G44=""</formula>
    </cfRule>
  </conditionalFormatting>
  <conditionalFormatting sqref="F48:F49">
    <cfRule type="expression" dxfId="6" priority="7">
      <formula>$G48=""</formula>
    </cfRule>
  </conditionalFormatting>
  <conditionalFormatting sqref="F53:F54">
    <cfRule type="expression" dxfId="5" priority="6">
      <formula>$G53=""</formula>
    </cfRule>
  </conditionalFormatting>
  <conditionalFormatting sqref="F31">
    <cfRule type="expression" dxfId="4" priority="5">
      <formula>$G31=""</formula>
    </cfRule>
  </conditionalFormatting>
  <conditionalFormatting sqref="F35:F37">
    <cfRule type="expression" dxfId="3" priority="4">
      <formula>$G35=""</formula>
    </cfRule>
  </conditionalFormatting>
  <conditionalFormatting sqref="F39:F40">
    <cfRule type="expression" dxfId="2" priority="3">
      <formula>$G39=""</formula>
    </cfRule>
  </conditionalFormatting>
  <conditionalFormatting sqref="F44">
    <cfRule type="expression" dxfId="1" priority="2">
      <formula>$G44=""</formula>
    </cfRule>
  </conditionalFormatting>
  <conditionalFormatting sqref="F37">
    <cfRule type="expression" dxfId="0" priority="1">
      <formula>$G37=""</formula>
    </cfRule>
  </conditionalFormatting>
  <dataValidations count="3">
    <dataValidation type="list" allowBlank="1" showInputMessage="1" showErrorMessage="1" sqref="F22">
      <formula1>IF(Q1="5mm",NA,IF($G$19="Pass",NA,FAIL))</formula1>
    </dataValidation>
    <dataValidation type="list" allowBlank="1" showInputMessage="1" showErrorMessage="1" sqref="F19">
      <formula1>IF(Q1="5mm",FAIL,$N$16:$N$18)</formula1>
    </dataValidation>
    <dataValidation type="list" allowBlank="1" showInputMessage="1" showErrorMessage="1" sqref="F31 F20:F21 F37">
      <formula1>$N$4:$N$6</formula1>
    </dataValidation>
  </dataValidations>
  <pageMargins left="0.25" right="0.25" top="0.30875000000000002" bottom="0.75" header="0.3" footer="0.3"/>
  <pageSetup scale="68" orientation="portrait" r:id="rId1"/>
  <rowBreaks count="1" manualBreakCount="1">
    <brk id="59" min="1" max="9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31</vt:i4>
      </vt:variant>
    </vt:vector>
  </HeadingPairs>
  <TitlesOfParts>
    <vt:vector size="32" baseType="lpstr">
      <vt:lpstr>Electronic Datasheet</vt:lpstr>
      <vt:lpstr>DIEL</vt:lpstr>
      <vt:lpstr>DIELDate</vt:lpstr>
      <vt:lpstr>DIELSign</vt:lpstr>
      <vt:lpstr>EVALUATE_CONTACT</vt:lpstr>
      <vt:lpstr>FAIL</vt:lpstr>
      <vt:lpstr>FPK</vt:lpstr>
      <vt:lpstr>FPKDate</vt:lpstr>
      <vt:lpstr>FPKSign</vt:lpstr>
      <vt:lpstr>FUNC</vt:lpstr>
      <vt:lpstr>FUNCDate</vt:lpstr>
      <vt:lpstr>FUNCSign</vt:lpstr>
      <vt:lpstr>GAP</vt:lpstr>
      <vt:lpstr>GAPDate</vt:lpstr>
      <vt:lpstr>GAPSign</vt:lpstr>
      <vt:lpstr>JFT</vt:lpstr>
      <vt:lpstr>JFTDate</vt:lpstr>
      <vt:lpstr>JFTSign</vt:lpstr>
      <vt:lpstr>NA</vt:lpstr>
      <vt:lpstr>PASS</vt:lpstr>
      <vt:lpstr>'Electronic Datasheet'!Print_Area</vt:lpstr>
      <vt:lpstr>SEAL</vt:lpstr>
      <vt:lpstr>SEALDate</vt:lpstr>
      <vt:lpstr>SEALSign</vt:lpstr>
      <vt:lpstr>SheetAcceptance</vt:lpstr>
      <vt:lpstr>SheetStatus</vt:lpstr>
      <vt:lpstr>TEMP</vt:lpstr>
      <vt:lpstr>TEMPDate</vt:lpstr>
      <vt:lpstr>TEMPSign</vt:lpstr>
      <vt:lpstr>TP_9297</vt:lpstr>
      <vt:lpstr>TP_9297Date</vt:lpstr>
      <vt:lpstr>TP_9297Sign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dashurst</dc:creator>
  <cp:lastModifiedBy>jkruse</cp:lastModifiedBy>
  <cp:lastPrinted>2015-04-17T16:55:58Z</cp:lastPrinted>
  <dcterms:created xsi:type="dcterms:W3CDTF">2013-12-09T20:18:26Z</dcterms:created>
  <dcterms:modified xsi:type="dcterms:W3CDTF">2015-05-05T22:28:11Z</dcterms:modified>
</cp:coreProperties>
</file>